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D4111B-B90A-46D5-A2EA-8A2FF685BE22}" xr6:coauthVersionLast="47" xr6:coauthVersionMax="47" xr10:uidLastSave="{00000000-0000-0000-0000-000000000000}"/>
  <bookViews>
    <workbookView xWindow="-120" yWindow="-120" windowWidth="25440" windowHeight="15390" tabRatio="594" xr2:uid="{00000000-000D-0000-FFFF-FFFF00000000}"/>
  </bookViews>
  <sheets>
    <sheet name="Sheet1" sheetId="1" r:id="rId1"/>
  </sheets>
  <definedNames>
    <definedName name="_xlnm.Print_Area" localSheetId="0">Sheet1!$A$1:$M$11</definedName>
  </definedNames>
  <calcPr calcId="191029"/>
</workbook>
</file>

<file path=xl/calcChain.xml><?xml version="1.0" encoding="utf-8"?>
<calcChain xmlns="http://schemas.openxmlformats.org/spreadsheetml/2006/main">
  <c r="AS7" i="1" l="1"/>
  <c r="AS12" i="1"/>
  <c r="K9" i="1"/>
  <c r="AQ9" i="1" s="1"/>
  <c r="C4" i="1"/>
  <c r="AI4" i="1" s="1"/>
  <c r="C5" i="1"/>
  <c r="AI5" i="1" s="1"/>
  <c r="C6" i="1"/>
  <c r="AI6" i="1" s="1"/>
  <c r="C7" i="1"/>
  <c r="AI7" i="1" s="1"/>
  <c r="C8" i="1"/>
  <c r="AI8" i="1" s="1"/>
  <c r="C9" i="1"/>
  <c r="AI9" i="1" s="1"/>
  <c r="C10" i="1"/>
  <c r="AI10" i="1" s="1"/>
  <c r="C11" i="1"/>
  <c r="AI11" i="1" s="1"/>
  <c r="C12" i="1"/>
  <c r="AI12" i="1" s="1"/>
  <c r="C3" i="1"/>
  <c r="AI3" i="1" s="1"/>
  <c r="K11" i="1"/>
  <c r="AQ11" i="1" s="1"/>
  <c r="K12" i="1"/>
  <c r="AQ12" i="1" s="1"/>
  <c r="M12" i="1"/>
  <c r="AH12" i="1"/>
  <c r="I12" i="1"/>
  <c r="AO12" i="1" s="1"/>
  <c r="G12" i="1"/>
  <c r="AM12" i="1" s="1"/>
  <c r="AL12" i="1"/>
  <c r="E12" i="1"/>
  <c r="AK12" i="1" s="1"/>
  <c r="AG12" i="1"/>
  <c r="AL11" i="1"/>
  <c r="AH11" i="1"/>
  <c r="AG11" i="1"/>
  <c r="M11" i="1"/>
  <c r="AS11" i="1" s="1"/>
  <c r="I11" i="1"/>
  <c r="AO11" i="1" s="1"/>
  <c r="G11" i="1"/>
  <c r="AM11" i="1" s="1"/>
  <c r="E11" i="1"/>
  <c r="AK11" i="1" s="1"/>
  <c r="AH10" i="1"/>
  <c r="AG10" i="1"/>
  <c r="M10" i="1"/>
  <c r="AS10" i="1" s="1"/>
  <c r="K10" i="1"/>
  <c r="AQ10" i="1" s="1"/>
  <c r="I10" i="1"/>
  <c r="G10" i="1"/>
  <c r="E10" i="1"/>
  <c r="AK10" i="1" s="1"/>
  <c r="AL9" i="1"/>
  <c r="AH9" i="1"/>
  <c r="AG9" i="1"/>
  <c r="M9" i="1"/>
  <c r="AS9" i="1" s="1"/>
  <c r="I9" i="1"/>
  <c r="AO9" i="1" s="1"/>
  <c r="G9" i="1"/>
  <c r="AM9" i="1" s="1"/>
  <c r="E9" i="1"/>
  <c r="AK9" i="1" s="1"/>
  <c r="AL8" i="1"/>
  <c r="AH8" i="1"/>
  <c r="AG8" i="1"/>
  <c r="M8" i="1"/>
  <c r="AS8" i="1" s="1"/>
  <c r="K8" i="1"/>
  <c r="AQ8" i="1" s="1"/>
  <c r="I8" i="1"/>
  <c r="AO8" i="1" s="1"/>
  <c r="G8" i="1"/>
  <c r="AM8" i="1" s="1"/>
  <c r="E8" i="1"/>
  <c r="AK8" i="1" s="1"/>
  <c r="AL7" i="1"/>
  <c r="AH7" i="1"/>
  <c r="AG7" i="1"/>
  <c r="M7" i="1"/>
  <c r="K7" i="1"/>
  <c r="AQ7" i="1" s="1"/>
  <c r="I7" i="1"/>
  <c r="AO7" i="1" s="1"/>
  <c r="G7" i="1"/>
  <c r="AM7" i="1" s="1"/>
  <c r="E7" i="1"/>
  <c r="AK7" i="1" s="1"/>
  <c r="AL6" i="1"/>
  <c r="AH6" i="1"/>
  <c r="AG6" i="1"/>
  <c r="M6" i="1"/>
  <c r="AS6" i="1" s="1"/>
  <c r="K6" i="1"/>
  <c r="AQ6" i="1" s="1"/>
  <c r="I6" i="1"/>
  <c r="AO6" i="1" s="1"/>
  <c r="G6" i="1"/>
  <c r="AM6" i="1" s="1"/>
  <c r="E6" i="1"/>
  <c r="AK6" i="1" s="1"/>
  <c r="AL5" i="1"/>
  <c r="AH5" i="1"/>
  <c r="AG5" i="1"/>
  <c r="M5" i="1"/>
  <c r="AS5" i="1" s="1"/>
  <c r="K5" i="1"/>
  <c r="AQ5" i="1" s="1"/>
  <c r="I5" i="1"/>
  <c r="AO5" i="1" s="1"/>
  <c r="G5" i="1"/>
  <c r="AM5" i="1" s="1"/>
  <c r="E5" i="1"/>
  <c r="AK5" i="1" s="1"/>
  <c r="AL4" i="1"/>
  <c r="AH4" i="1"/>
  <c r="AG4" i="1"/>
  <c r="M4" i="1"/>
  <c r="AS4" i="1" s="1"/>
  <c r="K4" i="1"/>
  <c r="AQ4" i="1" s="1"/>
  <c r="I4" i="1"/>
  <c r="AO4" i="1" s="1"/>
  <c r="G4" i="1"/>
  <c r="AM4" i="1" s="1"/>
  <c r="E4" i="1"/>
  <c r="AK4" i="1" s="1"/>
  <c r="AL3" i="1"/>
  <c r="AH3" i="1"/>
  <c r="AG3" i="1"/>
  <c r="M3" i="1"/>
  <c r="AS3" i="1" s="1"/>
  <c r="K3" i="1"/>
  <c r="AQ3" i="1" s="1"/>
  <c r="I3" i="1"/>
  <c r="AO3" i="1" s="1"/>
  <c r="G3" i="1"/>
  <c r="AM3" i="1" s="1"/>
  <c r="E3" i="1"/>
  <c r="AK3" i="1" s="1"/>
</calcChain>
</file>

<file path=xl/sharedStrings.xml><?xml version="1.0" encoding="utf-8"?>
<sst xmlns="http://schemas.openxmlformats.org/spreadsheetml/2006/main" count="74" uniqueCount="39">
  <si>
    <t>통신사</t>
  </si>
  <si>
    <t>SK</t>
  </si>
  <si>
    <t>KT</t>
  </si>
  <si>
    <t>LG</t>
  </si>
  <si>
    <t>CSV_출력(손대지마)</t>
  </si>
  <si>
    <t>기종</t>
  </si>
  <si>
    <t>요금제</t>
  </si>
  <si>
    <t>요금할인</t>
  </si>
  <si>
    <t>이동</t>
  </si>
  <si>
    <t>기변</t>
  </si>
  <si>
    <t>출고가</t>
  </si>
  <si>
    <t>이공</t>
  </si>
  <si>
    <t>기공</t>
  </si>
  <si>
    <t>마진</t>
  </si>
  <si>
    <t>SK_요금제</t>
  </si>
  <si>
    <t>SK_이동</t>
  </si>
  <si>
    <t>SK_기변</t>
  </si>
  <si>
    <t>KT_요금제</t>
  </si>
  <si>
    <t>KT_이동</t>
  </si>
  <si>
    <t>KT_기변</t>
  </si>
  <si>
    <t>LG_요금제</t>
  </si>
  <si>
    <t>LG_이동</t>
  </si>
  <si>
    <t>LG_기변</t>
  </si>
  <si>
    <t>아이폰17 256</t>
  </si>
  <si>
    <t>X</t>
  </si>
  <si>
    <t>아이폰 AIR 256</t>
  </si>
  <si>
    <t>아이폰17 PRO256</t>
  </si>
  <si>
    <t>아이폰17 PROMAX256</t>
  </si>
  <si>
    <t>플립7 256</t>
  </si>
  <si>
    <t>폴드7 256</t>
  </si>
  <si>
    <t>S25 256</t>
  </si>
  <si>
    <t>S25울트라 256</t>
  </si>
  <si>
    <t>S25엣지 256</t>
  </si>
  <si>
    <t>SK</t>
    <phoneticPr fontId="1" type="noConversion"/>
  </si>
  <si>
    <t>KT</t>
    <phoneticPr fontId="1" type="noConversion"/>
  </si>
  <si>
    <t>LG</t>
    <phoneticPr fontId="1" type="noConversion"/>
  </si>
  <si>
    <t>TODAY</t>
    <phoneticPr fontId="1" type="noConversion"/>
  </si>
  <si>
    <t>S25FE 256</t>
    <phoneticPr fontId="1" type="noConversion"/>
  </si>
  <si>
    <t>요금제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</si>
</sst>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ajor"/>
    </font>
    <font>
      <b/>
      <sz val="11"/>
      <color rgb="FFDC2626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sz val="20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ajor"/>
    </font>
    <font>
      <b/>
      <sz val="28"/>
      <color rgb="FFFF0000"/>
      <name val="맑은 고딕"/>
      <family val="3"/>
      <charset val="129"/>
      <scheme val="major"/>
    </font>
    <font>
      <sz val="28"/>
      <color theme="1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ajor"/>
    </font>
    <font>
      <b/>
      <sz val="28"/>
      <color rgb="FF009900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11827"/>
      </patternFill>
    </fill>
    <fill>
      <patternFill patternType="solid">
        <fgColor rgb="FFF3F4F6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rgb="FFD1D5DB"/>
      </left>
      <right/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3" fontId="3" fillId="4" borderId="1" xfId="0" applyNumberFormat="1" applyFont="1" applyFill="1" applyBorder="1" applyAlignment="1">
      <alignment horizontal="center" vertical="center" wrapText="1" readingOrder="1"/>
    </xf>
    <xf numFmtId="3" fontId="3" fillId="4" borderId="4" xfId="0" applyNumberFormat="1" applyFont="1" applyFill="1" applyBorder="1" applyAlignment="1">
      <alignment horizontal="center" vertical="center" wrapText="1" readingOrder="1"/>
    </xf>
    <xf numFmtId="3" fontId="3" fillId="2" borderId="4" xfId="0" applyNumberFormat="1" applyFont="1" applyFill="1" applyBorder="1" applyAlignment="1">
      <alignment horizontal="center" vertical="center" wrapText="1" readingOrder="1"/>
    </xf>
    <xf numFmtId="3" fontId="3" fillId="5" borderId="1" xfId="0" applyNumberFormat="1" applyFont="1" applyFill="1" applyBorder="1" applyAlignment="1">
      <alignment horizontal="center" vertical="center" wrapText="1" readingOrder="1"/>
    </xf>
    <xf numFmtId="3" fontId="3" fillId="6" borderId="4" xfId="0" applyNumberFormat="1" applyFont="1" applyFill="1" applyBorder="1" applyAlignment="1">
      <alignment horizontal="center" vertical="center" wrapText="1" readingOrder="1"/>
    </xf>
    <xf numFmtId="3" fontId="3" fillId="3" borderId="1" xfId="0" applyNumberFormat="1" applyFont="1" applyFill="1" applyBorder="1" applyAlignment="1">
      <alignment horizontal="center" vertical="center" wrapText="1" readingOrder="1"/>
    </xf>
    <xf numFmtId="3" fontId="3" fillId="3" borderId="4" xfId="0" applyNumberFormat="1" applyFont="1" applyFill="1" applyBorder="1" applyAlignment="1">
      <alignment horizontal="center" vertical="center" wrapText="1" readingOrder="1"/>
    </xf>
    <xf numFmtId="3" fontId="3" fillId="6" borderId="1" xfId="0" applyNumberFormat="1" applyFont="1" applyFill="1" applyBorder="1" applyAlignment="1">
      <alignment horizontal="center" vertical="center" wrapText="1" readingOrder="1"/>
    </xf>
    <xf numFmtId="3" fontId="3" fillId="2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/>
    <xf numFmtId="0" fontId="3" fillId="4" borderId="4" xfId="0" applyFont="1" applyFill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 readingOrder="1"/>
    </xf>
    <xf numFmtId="0" fontId="3" fillId="6" borderId="4" xfId="0" applyFont="1" applyFill="1" applyBorder="1" applyAlignment="1">
      <alignment horizontal="center" vertical="center" readingOrder="1"/>
    </xf>
    <xf numFmtId="0" fontId="3" fillId="6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8" borderId="7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176" fontId="8" fillId="2" borderId="4" xfId="0" applyNumberFormat="1" applyFont="1" applyFill="1" applyBorder="1" applyAlignment="1">
      <alignment horizontal="center" vertical="center" wrapText="1" readingOrder="1"/>
    </xf>
    <xf numFmtId="3" fontId="9" fillId="2" borderId="4" xfId="0" applyNumberFormat="1" applyFont="1" applyFill="1" applyBorder="1" applyAlignment="1">
      <alignment horizontal="center" vertical="center" wrapText="1" readingOrder="1"/>
    </xf>
    <xf numFmtId="3" fontId="12" fillId="2" borderId="1" xfId="0" applyNumberFormat="1" applyFont="1" applyFill="1" applyBorder="1" applyAlignment="1">
      <alignment horizontal="center" vertical="center" wrapText="1" readingOrder="1"/>
    </xf>
    <xf numFmtId="176" fontId="8" fillId="2" borderId="1" xfId="0" applyNumberFormat="1" applyFont="1" applyFill="1" applyBorder="1" applyAlignment="1">
      <alignment horizontal="center" vertical="center" wrapText="1" readingOrder="1"/>
    </xf>
    <xf numFmtId="176" fontId="9" fillId="2" borderId="5" xfId="0" applyNumberFormat="1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 readingOrder="1"/>
    </xf>
    <xf numFmtId="3" fontId="9" fillId="2" borderId="1" xfId="0" applyNumberFormat="1" applyFont="1" applyFill="1" applyBorder="1" applyAlignment="1">
      <alignment horizontal="center" vertical="center" wrapText="1" readingOrder="1"/>
    </xf>
    <xf numFmtId="3" fontId="11" fillId="2" borderId="1" xfId="0" applyNumberFormat="1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3" fontId="8" fillId="2" borderId="1" xfId="0" applyNumberFormat="1" applyFont="1" applyFill="1" applyBorder="1" applyAlignment="1">
      <alignment horizontal="center" vertical="center" wrapText="1" readingOrder="1"/>
    </xf>
    <xf numFmtId="176" fontId="8" fillId="2" borderId="5" xfId="0" applyNumberFormat="1" applyFont="1" applyFill="1" applyBorder="1" applyAlignment="1">
      <alignment horizontal="center" vertical="center" wrapText="1" readingOrder="1"/>
    </xf>
    <xf numFmtId="3" fontId="8" fillId="2" borderId="4" xfId="0" applyNumberFormat="1" applyFont="1" applyFill="1" applyBorder="1" applyAlignment="1">
      <alignment horizontal="center" vertical="center" wrapText="1" readingOrder="1"/>
    </xf>
    <xf numFmtId="3" fontId="9" fillId="2" borderId="4" xfId="0" applyNumberFormat="1" applyFont="1" applyFill="1" applyBorder="1" applyAlignment="1">
      <alignment horizontal="center" vertical="center" wrapText="1" readingOrder="1"/>
    </xf>
    <xf numFmtId="0" fontId="10" fillId="0" borderId="2" xfId="0" applyFont="1" applyBorder="1" applyAlignment="1"/>
    <xf numFmtId="0" fontId="10" fillId="0" borderId="3" xfId="0" applyFont="1" applyBorder="1" applyAlignment="1"/>
    <xf numFmtId="3" fontId="11" fillId="2" borderId="4" xfId="0" applyNumberFormat="1" applyFont="1" applyFill="1" applyBorder="1" applyAlignment="1">
      <alignment horizontal="center" vertical="center" wrapText="1" readingOrder="1"/>
    </xf>
    <xf numFmtId="0" fontId="4" fillId="0" borderId="0" xfId="0" applyFont="1" applyAlignment="1"/>
    <xf numFmtId="0" fontId="0" fillId="0" borderId="0" xfId="0" applyAlignment="1"/>
    <xf numFmtId="3" fontId="12" fillId="2" borderId="1" xfId="0" applyNumberFormat="1" applyFont="1" applyFill="1" applyBorder="1" applyAlignment="1">
      <alignment horizontal="center" vertical="center" wrapText="1" readingOrder="1"/>
    </xf>
    <xf numFmtId="0" fontId="10" fillId="0" borderId="6" xfId="0" applyFont="1" applyBorder="1" applyAlignment="1"/>
    <xf numFmtId="0" fontId="3" fillId="2" borderId="1" xfId="0" applyFont="1" applyFill="1" applyBorder="1" applyAlignment="1">
      <alignment horizontal="center" vertical="center" wrapText="1" readingOrder="1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자주색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U13"/>
  <sheetViews>
    <sheetView tabSelected="1" zoomScale="40" zoomScaleNormal="40" workbookViewId="0">
      <pane xSplit="1" topLeftCell="X1" activePane="topRight" state="frozen"/>
      <selection pane="topRight" activeCell="AP19" sqref="AP19"/>
    </sheetView>
  </sheetViews>
  <sheetFormatPr defaultColWidth="15.625" defaultRowHeight="39" x14ac:dyDescent="0.3"/>
  <cols>
    <col min="1" max="1" width="66.75" style="12" bestFit="1" customWidth="1"/>
    <col min="2" max="2" width="20.125" style="12" bestFit="1" customWidth="1"/>
    <col min="3" max="3" width="13.875" style="12" bestFit="1" customWidth="1"/>
    <col min="4" max="4" width="20.125" style="12" bestFit="1" customWidth="1"/>
    <col min="5" max="5" width="13.875" style="12" bestFit="1" customWidth="1"/>
    <col min="6" max="6" width="20.125" style="12" bestFit="1" customWidth="1"/>
    <col min="7" max="7" width="13.875" style="12" bestFit="1" customWidth="1"/>
    <col min="8" max="8" width="20.125" style="12" bestFit="1" customWidth="1"/>
    <col min="9" max="9" width="13.875" style="12" bestFit="1" customWidth="1"/>
    <col min="10" max="10" width="20.125" style="12" bestFit="1" customWidth="1"/>
    <col min="11" max="11" width="13.875" style="12" bestFit="1" customWidth="1"/>
    <col min="12" max="12" width="20.125" style="12" bestFit="1" customWidth="1"/>
    <col min="13" max="13" width="13.875" style="12" bestFit="1" customWidth="1"/>
    <col min="14" max="14" width="20.125" style="2" bestFit="1" customWidth="1"/>
    <col min="15" max="19" width="13.875" style="1" bestFit="1" customWidth="1"/>
    <col min="20" max="20" width="20.125" style="2" bestFit="1" customWidth="1"/>
    <col min="21" max="25" width="13.875" style="1" bestFit="1" customWidth="1"/>
    <col min="26" max="26" width="20.125" style="2" bestFit="1" customWidth="1"/>
    <col min="27" max="31" width="13.875" style="1" bestFit="1" customWidth="1"/>
    <col min="32" max="32" width="15.625" style="1" customWidth="1"/>
    <col min="33" max="33" width="25.625" style="12" customWidth="1"/>
    <col min="34" max="45" width="20.625" style="12" customWidth="1"/>
    <col min="46" max="46" width="18.875" bestFit="1" customWidth="1"/>
    <col min="47" max="47" width="15.625" style="26"/>
  </cols>
  <sheetData>
    <row r="1" spans="1:47" ht="104.25" customHeight="1" thickTop="1" thickBot="1" x14ac:dyDescent="0.75">
      <c r="A1" s="27" t="s">
        <v>0</v>
      </c>
      <c r="B1" s="42" t="s">
        <v>1</v>
      </c>
      <c r="C1" s="43"/>
      <c r="D1" s="43"/>
      <c r="E1" s="44"/>
      <c r="F1" s="45" t="s">
        <v>2</v>
      </c>
      <c r="G1" s="43"/>
      <c r="H1" s="43"/>
      <c r="I1" s="44"/>
      <c r="J1" s="48" t="s">
        <v>3</v>
      </c>
      <c r="K1" s="49"/>
      <c r="L1" s="49"/>
      <c r="M1" s="49"/>
      <c r="N1" s="50" t="s">
        <v>33</v>
      </c>
      <c r="O1" s="50"/>
      <c r="P1" s="50"/>
      <c r="Q1" s="50"/>
      <c r="R1" s="50"/>
      <c r="S1" s="50"/>
      <c r="T1" s="51" t="s">
        <v>34</v>
      </c>
      <c r="U1" s="51"/>
      <c r="V1" s="51"/>
      <c r="W1" s="51"/>
      <c r="X1" s="51"/>
      <c r="Y1" s="51"/>
      <c r="Z1" s="52" t="s">
        <v>35</v>
      </c>
      <c r="AA1" s="53"/>
      <c r="AB1" s="53"/>
      <c r="AC1" s="53"/>
      <c r="AD1" s="53"/>
      <c r="AE1" s="54"/>
      <c r="AG1" s="46" t="s">
        <v>4</v>
      </c>
      <c r="AH1" s="47"/>
      <c r="AI1" s="47"/>
      <c r="AJ1" s="47"/>
      <c r="AK1" s="47"/>
      <c r="AL1" s="47"/>
      <c r="AM1" s="47"/>
      <c r="AN1" s="47"/>
      <c r="AO1" s="47"/>
    </row>
    <row r="2" spans="1:47" ht="69.95" customHeight="1" thickTop="1" thickBot="1" x14ac:dyDescent="0.35">
      <c r="A2" s="30" t="s">
        <v>5</v>
      </c>
      <c r="B2" s="40" t="s">
        <v>6</v>
      </c>
      <c r="C2" s="31" t="s">
        <v>8</v>
      </c>
      <c r="D2" s="40" t="s">
        <v>38</v>
      </c>
      <c r="E2" s="32" t="s">
        <v>9</v>
      </c>
      <c r="F2" s="38" t="s">
        <v>6</v>
      </c>
      <c r="G2" s="33" t="s">
        <v>8</v>
      </c>
      <c r="H2" s="38" t="s">
        <v>38</v>
      </c>
      <c r="I2" s="33" t="s">
        <v>9</v>
      </c>
      <c r="J2" s="38" t="s">
        <v>6</v>
      </c>
      <c r="K2" s="34" t="s">
        <v>8</v>
      </c>
      <c r="L2" s="38" t="s">
        <v>38</v>
      </c>
      <c r="M2" s="34" t="s">
        <v>9</v>
      </c>
      <c r="N2" s="13" t="s">
        <v>10</v>
      </c>
      <c r="O2" s="13" t="s">
        <v>11</v>
      </c>
      <c r="P2" s="14" t="s">
        <v>12</v>
      </c>
      <c r="Q2" s="15" t="s">
        <v>8</v>
      </c>
      <c r="R2" s="15" t="s">
        <v>9</v>
      </c>
      <c r="S2" s="15" t="s">
        <v>13</v>
      </c>
      <c r="T2" s="16" t="s">
        <v>10</v>
      </c>
      <c r="U2" s="16" t="s">
        <v>11</v>
      </c>
      <c r="V2" s="17" t="s">
        <v>12</v>
      </c>
      <c r="W2" s="18" t="s">
        <v>8</v>
      </c>
      <c r="X2" s="18" t="s">
        <v>9</v>
      </c>
      <c r="Y2" s="18" t="s">
        <v>13</v>
      </c>
      <c r="Z2" s="19" t="s">
        <v>10</v>
      </c>
      <c r="AA2" s="19" t="s">
        <v>11</v>
      </c>
      <c r="AB2" s="20" t="s">
        <v>12</v>
      </c>
      <c r="AC2" s="21" t="s">
        <v>8</v>
      </c>
      <c r="AD2" s="21" t="s">
        <v>9</v>
      </c>
      <c r="AE2" s="21" t="s">
        <v>13</v>
      </c>
      <c r="AG2" s="22" t="s">
        <v>5</v>
      </c>
      <c r="AH2" s="22" t="s">
        <v>14</v>
      </c>
      <c r="AI2" s="22" t="s">
        <v>15</v>
      </c>
      <c r="AJ2" s="22" t="s">
        <v>14</v>
      </c>
      <c r="AK2" s="22" t="s">
        <v>16</v>
      </c>
      <c r="AL2" s="22" t="s">
        <v>17</v>
      </c>
      <c r="AM2" s="22" t="s">
        <v>18</v>
      </c>
      <c r="AN2" s="22" t="s">
        <v>17</v>
      </c>
      <c r="AO2" s="22" t="s">
        <v>19</v>
      </c>
      <c r="AP2" s="22" t="s">
        <v>20</v>
      </c>
      <c r="AQ2" s="22" t="s">
        <v>21</v>
      </c>
      <c r="AR2" s="22" t="s">
        <v>20</v>
      </c>
      <c r="AS2" s="22" t="s">
        <v>22</v>
      </c>
      <c r="AT2" s="23" t="s">
        <v>7</v>
      </c>
      <c r="AU2" s="25" t="s">
        <v>36</v>
      </c>
    </row>
    <row r="3" spans="1:47" ht="60" customHeight="1" thickTop="1" thickBot="1" x14ac:dyDescent="0.35">
      <c r="A3" s="35" t="s">
        <v>23</v>
      </c>
      <c r="B3" s="35">
        <v>109</v>
      </c>
      <c r="C3" s="28">
        <f>N3-O3-Q3+S3</f>
        <v>15</v>
      </c>
      <c r="D3" s="41">
        <v>109</v>
      </c>
      <c r="E3" s="36">
        <f t="shared" ref="E3:E12" si="0">N3-P3-R3+S3</f>
        <v>37</v>
      </c>
      <c r="F3" s="39">
        <v>110</v>
      </c>
      <c r="G3" s="37">
        <f t="shared" ref="G3:G9" si="1">T3-U3-W3+Y3</f>
        <v>20</v>
      </c>
      <c r="H3" s="39">
        <v>110</v>
      </c>
      <c r="I3" s="37">
        <f t="shared" ref="I3:I9" si="2">T3-V3-X3+Y3</f>
        <v>52</v>
      </c>
      <c r="J3" s="39">
        <v>115</v>
      </c>
      <c r="K3" s="29">
        <f t="shared" ref="K3:K12" si="3">Z3-AA3-AC3+AE3</f>
        <v>13</v>
      </c>
      <c r="L3" s="38">
        <v>115</v>
      </c>
      <c r="M3" s="29">
        <f t="shared" ref="M3:M12" si="4">Z3-AB3-AD3+AE3</f>
        <v>47</v>
      </c>
      <c r="N3" s="3">
        <v>129</v>
      </c>
      <c r="O3" s="4">
        <v>45</v>
      </c>
      <c r="P3" s="4">
        <v>45</v>
      </c>
      <c r="Q3" s="5">
        <v>69</v>
      </c>
      <c r="R3" s="5">
        <v>47</v>
      </c>
      <c r="S3" s="4">
        <v>0</v>
      </c>
      <c r="T3" s="6">
        <v>129</v>
      </c>
      <c r="U3" s="7">
        <v>45</v>
      </c>
      <c r="V3" s="7">
        <v>45</v>
      </c>
      <c r="W3" s="5">
        <v>74</v>
      </c>
      <c r="X3" s="5">
        <v>42</v>
      </c>
      <c r="Y3" s="7">
        <v>10</v>
      </c>
      <c r="Z3" s="8">
        <v>129</v>
      </c>
      <c r="AA3" s="9">
        <v>55</v>
      </c>
      <c r="AB3" s="9">
        <v>45</v>
      </c>
      <c r="AC3" s="5">
        <v>71</v>
      </c>
      <c r="AD3" s="5">
        <v>47</v>
      </c>
      <c r="AE3" s="9">
        <v>10</v>
      </c>
      <c r="AG3" s="24" t="str">
        <f t="shared" ref="AG3:AG12" si="5">A3</f>
        <v>아이폰17 256</v>
      </c>
      <c r="AH3" s="24">
        <f t="shared" ref="AH3:AH12" si="6">B3</f>
        <v>109</v>
      </c>
      <c r="AI3" s="24">
        <f t="shared" ref="AI3:AI12" si="7">C3</f>
        <v>15</v>
      </c>
      <c r="AJ3" s="24">
        <v>109</v>
      </c>
      <c r="AK3" s="24">
        <f t="shared" ref="AK3:AK12" si="8">E3</f>
        <v>37</v>
      </c>
      <c r="AL3" s="24">
        <f t="shared" ref="AL3:AL12" si="9">F3</f>
        <v>110</v>
      </c>
      <c r="AM3" s="24">
        <f t="shared" ref="AM3:AM12" si="10">G3</f>
        <v>20</v>
      </c>
      <c r="AN3" s="24">
        <v>110</v>
      </c>
      <c r="AO3" s="24">
        <f t="shared" ref="AO3:AO11" si="11">I3</f>
        <v>52</v>
      </c>
      <c r="AP3" s="24">
        <v>115</v>
      </c>
      <c r="AQ3" s="24">
        <f t="shared" ref="AQ3:AQ12" si="12">K3</f>
        <v>13</v>
      </c>
      <c r="AR3" s="24">
        <v>115</v>
      </c>
      <c r="AS3" s="24">
        <f t="shared" ref="AS3:AS12" si="13">M3</f>
        <v>47</v>
      </c>
      <c r="AT3" s="23" t="s">
        <v>24</v>
      </c>
    </row>
    <row r="4" spans="1:47" ht="60" customHeight="1" thickTop="1" thickBot="1" x14ac:dyDescent="0.35">
      <c r="A4" s="38" t="s">
        <v>25</v>
      </c>
      <c r="B4" s="35">
        <v>109</v>
      </c>
      <c r="C4" s="28">
        <f t="shared" ref="C4:C12" si="14">N4-O4-Q4+S4</f>
        <v>45</v>
      </c>
      <c r="D4" s="41">
        <v>109</v>
      </c>
      <c r="E4" s="36">
        <f t="shared" si="0"/>
        <v>67</v>
      </c>
      <c r="F4" s="39">
        <v>110</v>
      </c>
      <c r="G4" s="37">
        <f t="shared" si="1"/>
        <v>50</v>
      </c>
      <c r="H4" s="39">
        <v>110</v>
      </c>
      <c r="I4" s="37">
        <f t="shared" si="2"/>
        <v>82</v>
      </c>
      <c r="J4" s="39">
        <v>115</v>
      </c>
      <c r="K4" s="29">
        <f t="shared" si="3"/>
        <v>43</v>
      </c>
      <c r="L4" s="38">
        <v>115</v>
      </c>
      <c r="M4" s="29">
        <f t="shared" si="4"/>
        <v>77</v>
      </c>
      <c r="N4" s="3">
        <v>159</v>
      </c>
      <c r="O4" s="4">
        <v>45</v>
      </c>
      <c r="P4" s="4">
        <v>45</v>
      </c>
      <c r="Q4" s="5">
        <v>69</v>
      </c>
      <c r="R4" s="5">
        <v>47</v>
      </c>
      <c r="S4" s="4">
        <v>0</v>
      </c>
      <c r="T4" s="6">
        <v>159</v>
      </c>
      <c r="U4" s="10">
        <v>45</v>
      </c>
      <c r="V4" s="10">
        <v>45</v>
      </c>
      <c r="W4" s="5">
        <v>74</v>
      </c>
      <c r="X4" s="5">
        <v>42</v>
      </c>
      <c r="Y4" s="7">
        <v>10</v>
      </c>
      <c r="Z4" s="8">
        <v>159</v>
      </c>
      <c r="AA4" s="8">
        <v>55</v>
      </c>
      <c r="AB4" s="8">
        <v>45</v>
      </c>
      <c r="AC4" s="5">
        <v>71</v>
      </c>
      <c r="AD4" s="5">
        <v>47</v>
      </c>
      <c r="AE4" s="9">
        <v>10</v>
      </c>
      <c r="AG4" s="24" t="str">
        <f t="shared" si="5"/>
        <v>아이폰 AIR 256</v>
      </c>
      <c r="AH4" s="24">
        <f t="shared" si="6"/>
        <v>109</v>
      </c>
      <c r="AI4" s="24">
        <f t="shared" si="7"/>
        <v>45</v>
      </c>
      <c r="AJ4" s="24">
        <v>109</v>
      </c>
      <c r="AK4" s="24">
        <f t="shared" si="8"/>
        <v>67</v>
      </c>
      <c r="AL4" s="24">
        <f t="shared" si="9"/>
        <v>110</v>
      </c>
      <c r="AM4" s="24">
        <f t="shared" si="10"/>
        <v>50</v>
      </c>
      <c r="AN4" s="24">
        <v>110</v>
      </c>
      <c r="AO4" s="24">
        <f t="shared" si="11"/>
        <v>82</v>
      </c>
      <c r="AP4" s="24">
        <v>115</v>
      </c>
      <c r="AQ4" s="24">
        <f t="shared" si="12"/>
        <v>43</v>
      </c>
      <c r="AR4" s="24">
        <v>115</v>
      </c>
      <c r="AS4" s="24">
        <f t="shared" si="13"/>
        <v>77</v>
      </c>
      <c r="AT4" s="23" t="s">
        <v>24</v>
      </c>
    </row>
    <row r="5" spans="1:47" ht="60" customHeight="1" thickTop="1" thickBot="1" x14ac:dyDescent="0.35">
      <c r="A5" s="38" t="s">
        <v>26</v>
      </c>
      <c r="B5" s="35">
        <v>109</v>
      </c>
      <c r="C5" s="28">
        <f t="shared" si="14"/>
        <v>65</v>
      </c>
      <c r="D5" s="41">
        <v>109</v>
      </c>
      <c r="E5" s="36">
        <f t="shared" si="0"/>
        <v>87</v>
      </c>
      <c r="F5" s="39">
        <v>110</v>
      </c>
      <c r="G5" s="37">
        <f t="shared" si="1"/>
        <v>70</v>
      </c>
      <c r="H5" s="39">
        <v>110</v>
      </c>
      <c r="I5" s="37">
        <f t="shared" si="2"/>
        <v>102</v>
      </c>
      <c r="J5" s="39">
        <v>115</v>
      </c>
      <c r="K5" s="29">
        <f t="shared" si="3"/>
        <v>63</v>
      </c>
      <c r="L5" s="38">
        <v>115</v>
      </c>
      <c r="M5" s="29">
        <f t="shared" si="4"/>
        <v>97</v>
      </c>
      <c r="N5" s="3">
        <v>179</v>
      </c>
      <c r="O5" s="4">
        <v>45</v>
      </c>
      <c r="P5" s="4">
        <v>45</v>
      </c>
      <c r="Q5" s="5">
        <v>69</v>
      </c>
      <c r="R5" s="5">
        <v>47</v>
      </c>
      <c r="S5" s="4">
        <v>0</v>
      </c>
      <c r="T5" s="6">
        <v>179</v>
      </c>
      <c r="U5" s="6">
        <v>45</v>
      </c>
      <c r="V5" s="6">
        <v>45</v>
      </c>
      <c r="W5" s="11">
        <v>74</v>
      </c>
      <c r="X5" s="11">
        <v>42</v>
      </c>
      <c r="Y5" s="7">
        <v>10</v>
      </c>
      <c r="Z5" s="8">
        <v>179</v>
      </c>
      <c r="AA5" s="8">
        <v>55</v>
      </c>
      <c r="AB5" s="8">
        <v>45</v>
      </c>
      <c r="AC5" s="5">
        <v>71</v>
      </c>
      <c r="AD5" s="5">
        <v>47</v>
      </c>
      <c r="AE5" s="9">
        <v>10</v>
      </c>
      <c r="AG5" s="24" t="str">
        <f t="shared" si="5"/>
        <v>아이폰17 PRO256</v>
      </c>
      <c r="AH5" s="24">
        <f t="shared" si="6"/>
        <v>109</v>
      </c>
      <c r="AI5" s="24">
        <f t="shared" si="7"/>
        <v>65</v>
      </c>
      <c r="AJ5" s="24">
        <v>109</v>
      </c>
      <c r="AK5" s="24">
        <f t="shared" si="8"/>
        <v>87</v>
      </c>
      <c r="AL5" s="24">
        <f t="shared" si="9"/>
        <v>110</v>
      </c>
      <c r="AM5" s="24">
        <f t="shared" si="10"/>
        <v>70</v>
      </c>
      <c r="AN5" s="24">
        <v>110</v>
      </c>
      <c r="AO5" s="24">
        <f t="shared" si="11"/>
        <v>102</v>
      </c>
      <c r="AP5" s="24">
        <v>115</v>
      </c>
      <c r="AQ5" s="24">
        <f t="shared" si="12"/>
        <v>63</v>
      </c>
      <c r="AR5" s="24">
        <v>115</v>
      </c>
      <c r="AS5" s="24">
        <f t="shared" si="13"/>
        <v>97</v>
      </c>
      <c r="AT5" s="23" t="s">
        <v>24</v>
      </c>
    </row>
    <row r="6" spans="1:47" ht="60" customHeight="1" thickTop="1" thickBot="1" x14ac:dyDescent="0.35">
      <c r="A6" s="38" t="s">
        <v>27</v>
      </c>
      <c r="B6" s="35">
        <v>109</v>
      </c>
      <c r="C6" s="28">
        <f t="shared" si="14"/>
        <v>107</v>
      </c>
      <c r="D6" s="41">
        <v>109</v>
      </c>
      <c r="E6" s="36">
        <f t="shared" si="0"/>
        <v>129</v>
      </c>
      <c r="F6" s="39">
        <v>110</v>
      </c>
      <c r="G6" s="37">
        <f t="shared" si="1"/>
        <v>114</v>
      </c>
      <c r="H6" s="39">
        <v>110</v>
      </c>
      <c r="I6" s="37">
        <f t="shared" si="2"/>
        <v>146</v>
      </c>
      <c r="J6" s="39">
        <v>115</v>
      </c>
      <c r="K6" s="29">
        <f t="shared" si="3"/>
        <v>118</v>
      </c>
      <c r="L6" s="38">
        <v>115</v>
      </c>
      <c r="M6" s="29">
        <f t="shared" si="4"/>
        <v>142</v>
      </c>
      <c r="N6" s="3">
        <v>198</v>
      </c>
      <c r="O6" s="3">
        <v>22</v>
      </c>
      <c r="P6" s="3">
        <v>22</v>
      </c>
      <c r="Q6" s="5">
        <v>69</v>
      </c>
      <c r="R6" s="5">
        <v>47</v>
      </c>
      <c r="S6" s="4">
        <v>0</v>
      </c>
      <c r="T6" s="6">
        <v>198</v>
      </c>
      <c r="U6" s="6">
        <v>20</v>
      </c>
      <c r="V6" s="6">
        <v>20</v>
      </c>
      <c r="W6" s="11">
        <v>74</v>
      </c>
      <c r="X6" s="11">
        <v>42</v>
      </c>
      <c r="Y6" s="7">
        <v>10</v>
      </c>
      <c r="Z6" s="8">
        <v>198</v>
      </c>
      <c r="AA6" s="8">
        <v>19</v>
      </c>
      <c r="AB6" s="8">
        <v>19</v>
      </c>
      <c r="AC6" s="5">
        <v>71</v>
      </c>
      <c r="AD6" s="5">
        <v>47</v>
      </c>
      <c r="AE6" s="9">
        <v>10</v>
      </c>
      <c r="AG6" s="24" t="str">
        <f t="shared" si="5"/>
        <v>아이폰17 PROMAX256</v>
      </c>
      <c r="AH6" s="24">
        <f t="shared" si="6"/>
        <v>109</v>
      </c>
      <c r="AI6" s="24">
        <f t="shared" si="7"/>
        <v>107</v>
      </c>
      <c r="AJ6" s="24">
        <v>109</v>
      </c>
      <c r="AK6" s="24">
        <f t="shared" si="8"/>
        <v>129</v>
      </c>
      <c r="AL6" s="24">
        <f t="shared" si="9"/>
        <v>110</v>
      </c>
      <c r="AM6" s="24">
        <f t="shared" si="10"/>
        <v>114</v>
      </c>
      <c r="AN6" s="24">
        <v>110</v>
      </c>
      <c r="AO6" s="24">
        <f t="shared" si="11"/>
        <v>146</v>
      </c>
      <c r="AP6" s="24">
        <v>115</v>
      </c>
      <c r="AQ6" s="24">
        <f t="shared" si="12"/>
        <v>118</v>
      </c>
      <c r="AR6" s="24">
        <v>115</v>
      </c>
      <c r="AS6" s="24">
        <f t="shared" si="13"/>
        <v>142</v>
      </c>
      <c r="AT6" s="23" t="s">
        <v>24</v>
      </c>
    </row>
    <row r="7" spans="1:47" ht="60" customHeight="1" thickTop="1" thickBot="1" x14ac:dyDescent="0.35">
      <c r="A7" s="38" t="s">
        <v>28</v>
      </c>
      <c r="B7" s="35">
        <v>109</v>
      </c>
      <c r="C7" s="28">
        <f t="shared" si="14"/>
        <v>18</v>
      </c>
      <c r="D7" s="41">
        <v>109</v>
      </c>
      <c r="E7" s="36">
        <f t="shared" si="0"/>
        <v>37</v>
      </c>
      <c r="F7" s="39">
        <v>110</v>
      </c>
      <c r="G7" s="37">
        <f t="shared" si="1"/>
        <v>39</v>
      </c>
      <c r="H7" s="39">
        <v>110</v>
      </c>
      <c r="I7" s="37">
        <f t="shared" si="2"/>
        <v>37</v>
      </c>
      <c r="J7" s="39">
        <v>115</v>
      </c>
      <c r="K7" s="29">
        <f t="shared" si="3"/>
        <v>27</v>
      </c>
      <c r="L7" s="38">
        <v>115</v>
      </c>
      <c r="M7" s="29">
        <f t="shared" si="4"/>
        <v>20</v>
      </c>
      <c r="N7" s="3">
        <v>149</v>
      </c>
      <c r="O7" s="3">
        <v>60</v>
      </c>
      <c r="P7" s="3">
        <v>60</v>
      </c>
      <c r="Q7" s="11">
        <v>71</v>
      </c>
      <c r="R7" s="5">
        <v>52</v>
      </c>
      <c r="S7" s="4">
        <v>0</v>
      </c>
      <c r="T7" s="6">
        <v>149</v>
      </c>
      <c r="U7" s="6">
        <v>60</v>
      </c>
      <c r="V7" s="6">
        <v>60</v>
      </c>
      <c r="W7" s="11">
        <v>60</v>
      </c>
      <c r="X7" s="11">
        <v>62</v>
      </c>
      <c r="Y7" s="7">
        <v>10</v>
      </c>
      <c r="Z7" s="8">
        <v>149</v>
      </c>
      <c r="AA7" s="8">
        <v>60</v>
      </c>
      <c r="AB7" s="8">
        <v>60</v>
      </c>
      <c r="AC7" s="11">
        <v>72</v>
      </c>
      <c r="AD7" s="11">
        <v>79</v>
      </c>
      <c r="AE7" s="9">
        <v>10</v>
      </c>
      <c r="AG7" s="24" t="str">
        <f t="shared" si="5"/>
        <v>플립7 256</v>
      </c>
      <c r="AH7" s="24">
        <f t="shared" si="6"/>
        <v>109</v>
      </c>
      <c r="AI7" s="24">
        <f t="shared" si="7"/>
        <v>18</v>
      </c>
      <c r="AJ7" s="24">
        <v>109</v>
      </c>
      <c r="AK7" s="24">
        <f t="shared" si="8"/>
        <v>37</v>
      </c>
      <c r="AL7" s="24">
        <f t="shared" si="9"/>
        <v>110</v>
      </c>
      <c r="AM7" s="24">
        <f t="shared" si="10"/>
        <v>39</v>
      </c>
      <c r="AN7" s="24">
        <v>110</v>
      </c>
      <c r="AO7" s="24">
        <f t="shared" si="11"/>
        <v>37</v>
      </c>
      <c r="AP7" s="24">
        <v>115</v>
      </c>
      <c r="AQ7" s="24">
        <f t="shared" si="12"/>
        <v>27</v>
      </c>
      <c r="AR7" s="24">
        <v>115</v>
      </c>
      <c r="AS7" s="24">
        <f t="shared" si="13"/>
        <v>20</v>
      </c>
      <c r="AT7" s="23" t="s">
        <v>24</v>
      </c>
    </row>
    <row r="8" spans="1:47" ht="60" customHeight="1" thickTop="1" thickBot="1" x14ac:dyDescent="0.35">
      <c r="A8" s="38" t="s">
        <v>29</v>
      </c>
      <c r="B8" s="35">
        <v>109</v>
      </c>
      <c r="C8" s="28">
        <f t="shared" si="14"/>
        <v>117</v>
      </c>
      <c r="D8" s="41">
        <v>109</v>
      </c>
      <c r="E8" s="36">
        <f t="shared" si="0"/>
        <v>136</v>
      </c>
      <c r="F8" s="39">
        <v>110</v>
      </c>
      <c r="G8" s="37">
        <f t="shared" si="1"/>
        <v>146</v>
      </c>
      <c r="H8" s="39">
        <v>110</v>
      </c>
      <c r="I8" s="37">
        <f t="shared" si="2"/>
        <v>139</v>
      </c>
      <c r="J8" s="39">
        <v>115</v>
      </c>
      <c r="K8" s="29">
        <f t="shared" si="3"/>
        <v>126</v>
      </c>
      <c r="L8" s="38">
        <v>115</v>
      </c>
      <c r="M8" s="29">
        <f t="shared" si="4"/>
        <v>121</v>
      </c>
      <c r="N8" s="3">
        <v>238</v>
      </c>
      <c r="O8" s="3">
        <v>50</v>
      </c>
      <c r="P8" s="3">
        <v>50</v>
      </c>
      <c r="Q8" s="11">
        <v>71</v>
      </c>
      <c r="R8" s="5">
        <v>52</v>
      </c>
      <c r="S8" s="4">
        <v>0</v>
      </c>
      <c r="T8" s="6">
        <v>238</v>
      </c>
      <c r="U8" s="6">
        <v>50</v>
      </c>
      <c r="V8" s="6">
        <v>50</v>
      </c>
      <c r="W8" s="11">
        <v>52</v>
      </c>
      <c r="X8" s="11">
        <v>59</v>
      </c>
      <c r="Y8" s="7">
        <v>10</v>
      </c>
      <c r="Z8" s="8">
        <v>238</v>
      </c>
      <c r="AA8" s="8">
        <v>50</v>
      </c>
      <c r="AB8" s="8">
        <v>50</v>
      </c>
      <c r="AC8" s="11">
        <v>72</v>
      </c>
      <c r="AD8" s="11">
        <v>77</v>
      </c>
      <c r="AE8" s="9">
        <v>10</v>
      </c>
      <c r="AG8" s="24" t="str">
        <f t="shared" si="5"/>
        <v>폴드7 256</v>
      </c>
      <c r="AH8" s="24">
        <f t="shared" si="6"/>
        <v>109</v>
      </c>
      <c r="AI8" s="24">
        <f t="shared" si="7"/>
        <v>117</v>
      </c>
      <c r="AJ8" s="24">
        <v>109</v>
      </c>
      <c r="AK8" s="24">
        <f t="shared" si="8"/>
        <v>136</v>
      </c>
      <c r="AL8" s="24">
        <f t="shared" si="9"/>
        <v>110</v>
      </c>
      <c r="AM8" s="24">
        <f t="shared" si="10"/>
        <v>146</v>
      </c>
      <c r="AN8" s="24">
        <v>110</v>
      </c>
      <c r="AO8" s="24">
        <f t="shared" si="11"/>
        <v>139</v>
      </c>
      <c r="AP8" s="24">
        <v>115</v>
      </c>
      <c r="AQ8" s="24">
        <f t="shared" si="12"/>
        <v>126</v>
      </c>
      <c r="AR8" s="24">
        <v>115</v>
      </c>
      <c r="AS8" s="24">
        <f t="shared" si="13"/>
        <v>121</v>
      </c>
      <c r="AT8" s="23" t="s">
        <v>24</v>
      </c>
    </row>
    <row r="9" spans="1:47" ht="60" customHeight="1" thickTop="1" thickBot="1" x14ac:dyDescent="0.35">
      <c r="A9" s="38" t="s">
        <v>30</v>
      </c>
      <c r="B9" s="35">
        <v>109</v>
      </c>
      <c r="C9" s="28">
        <f t="shared" si="14"/>
        <v>-1</v>
      </c>
      <c r="D9" s="41">
        <v>109</v>
      </c>
      <c r="E9" s="36">
        <f t="shared" si="0"/>
        <v>14</v>
      </c>
      <c r="F9" s="39">
        <v>110</v>
      </c>
      <c r="G9" s="37">
        <f t="shared" si="1"/>
        <v>11</v>
      </c>
      <c r="H9" s="39">
        <v>110</v>
      </c>
      <c r="I9" s="37">
        <f t="shared" si="2"/>
        <v>12</v>
      </c>
      <c r="J9" s="39">
        <v>115</v>
      </c>
      <c r="K9" s="29">
        <f t="shared" si="3"/>
        <v>0</v>
      </c>
      <c r="L9" s="38">
        <v>115</v>
      </c>
      <c r="M9" s="29">
        <f t="shared" si="4"/>
        <v>7</v>
      </c>
      <c r="N9" s="3">
        <v>116</v>
      </c>
      <c r="O9" s="3">
        <v>50</v>
      </c>
      <c r="P9" s="3">
        <v>50</v>
      </c>
      <c r="Q9" s="11">
        <v>67</v>
      </c>
      <c r="R9" s="5">
        <v>52</v>
      </c>
      <c r="S9" s="4">
        <v>0</v>
      </c>
      <c r="T9" s="6">
        <v>116</v>
      </c>
      <c r="U9" s="6">
        <v>50</v>
      </c>
      <c r="V9" s="6">
        <v>50</v>
      </c>
      <c r="W9" s="11">
        <v>65</v>
      </c>
      <c r="X9" s="11">
        <v>64</v>
      </c>
      <c r="Y9" s="7">
        <v>10</v>
      </c>
      <c r="Z9" s="8">
        <v>116</v>
      </c>
      <c r="AA9" s="8">
        <v>50</v>
      </c>
      <c r="AB9" s="8">
        <v>50</v>
      </c>
      <c r="AC9" s="11">
        <v>76</v>
      </c>
      <c r="AD9" s="11">
        <v>69</v>
      </c>
      <c r="AE9" s="9">
        <v>10</v>
      </c>
      <c r="AG9" s="24" t="str">
        <f t="shared" si="5"/>
        <v>S25 256</v>
      </c>
      <c r="AH9" s="24">
        <f t="shared" si="6"/>
        <v>109</v>
      </c>
      <c r="AI9" s="24">
        <f t="shared" si="7"/>
        <v>-1</v>
      </c>
      <c r="AJ9" s="24">
        <v>109</v>
      </c>
      <c r="AK9" s="24">
        <f t="shared" si="8"/>
        <v>14</v>
      </c>
      <c r="AL9" s="24">
        <f t="shared" si="9"/>
        <v>110</v>
      </c>
      <c r="AM9" s="24">
        <f t="shared" si="10"/>
        <v>11</v>
      </c>
      <c r="AN9" s="24">
        <v>110</v>
      </c>
      <c r="AO9" s="24">
        <f t="shared" si="11"/>
        <v>12</v>
      </c>
      <c r="AP9" s="24">
        <v>115</v>
      </c>
      <c r="AQ9" s="24">
        <f t="shared" si="12"/>
        <v>0</v>
      </c>
      <c r="AR9" s="24">
        <v>115</v>
      </c>
      <c r="AS9" s="24">
        <f t="shared" si="13"/>
        <v>7</v>
      </c>
      <c r="AT9" s="23" t="s">
        <v>24</v>
      </c>
    </row>
    <row r="10" spans="1:47" ht="60" customHeight="1" thickTop="1" thickBot="1" x14ac:dyDescent="0.35">
      <c r="A10" s="38" t="s">
        <v>31</v>
      </c>
      <c r="B10" s="35">
        <v>109</v>
      </c>
      <c r="C10" s="28">
        <f t="shared" si="14"/>
        <v>49</v>
      </c>
      <c r="D10" s="41">
        <v>109</v>
      </c>
      <c r="E10" s="36">
        <f t="shared" si="0"/>
        <v>68</v>
      </c>
      <c r="F10" s="39">
        <v>100</v>
      </c>
      <c r="G10" s="37">
        <f>T10-U10-W10+Y10</f>
        <v>0</v>
      </c>
      <c r="H10" s="39">
        <v>100</v>
      </c>
      <c r="I10" s="37">
        <f>T10-V10-X10+Y10</f>
        <v>0</v>
      </c>
      <c r="J10" s="39">
        <v>115</v>
      </c>
      <c r="K10" s="29">
        <f t="shared" si="3"/>
        <v>59</v>
      </c>
      <c r="L10" s="38">
        <v>115</v>
      </c>
      <c r="M10" s="29">
        <f t="shared" si="4"/>
        <v>66</v>
      </c>
      <c r="N10" s="3">
        <v>170</v>
      </c>
      <c r="O10" s="3">
        <v>50</v>
      </c>
      <c r="P10" s="3">
        <v>50</v>
      </c>
      <c r="Q10" s="11">
        <v>71</v>
      </c>
      <c r="R10" s="5">
        <v>52</v>
      </c>
      <c r="S10" s="4">
        <v>0</v>
      </c>
      <c r="T10" s="6"/>
      <c r="U10" s="6"/>
      <c r="V10" s="6"/>
      <c r="W10" s="11"/>
      <c r="X10" s="11"/>
      <c r="Y10" s="7"/>
      <c r="Z10" s="8">
        <v>170</v>
      </c>
      <c r="AA10" s="8">
        <v>50</v>
      </c>
      <c r="AB10" s="8">
        <v>50</v>
      </c>
      <c r="AC10" s="11">
        <v>71</v>
      </c>
      <c r="AD10" s="11">
        <v>64</v>
      </c>
      <c r="AE10" s="9">
        <v>10</v>
      </c>
      <c r="AG10" s="24" t="str">
        <f t="shared" si="5"/>
        <v>S25울트라 256</v>
      </c>
      <c r="AH10" s="24">
        <f t="shared" si="6"/>
        <v>109</v>
      </c>
      <c r="AI10" s="24">
        <f t="shared" si="7"/>
        <v>49</v>
      </c>
      <c r="AJ10" s="24">
        <v>109</v>
      </c>
      <c r="AK10" s="24">
        <f t="shared" si="8"/>
        <v>68</v>
      </c>
      <c r="AL10" s="24"/>
      <c r="AM10" s="24"/>
      <c r="AN10" s="24"/>
      <c r="AO10" s="24"/>
      <c r="AP10" s="24">
        <v>115</v>
      </c>
      <c r="AQ10" s="24">
        <f t="shared" si="12"/>
        <v>59</v>
      </c>
      <c r="AR10" s="24">
        <v>115</v>
      </c>
      <c r="AS10" s="24">
        <f t="shared" si="13"/>
        <v>66</v>
      </c>
      <c r="AT10" s="23" t="s">
        <v>24</v>
      </c>
    </row>
    <row r="11" spans="1:47" ht="60" customHeight="1" thickTop="1" thickBot="1" x14ac:dyDescent="0.35">
      <c r="A11" s="38" t="s">
        <v>32</v>
      </c>
      <c r="B11" s="35">
        <v>109</v>
      </c>
      <c r="C11" s="28">
        <f t="shared" si="14"/>
        <v>19</v>
      </c>
      <c r="D11" s="41">
        <v>109</v>
      </c>
      <c r="E11" s="36">
        <f t="shared" si="0"/>
        <v>38</v>
      </c>
      <c r="F11" s="39">
        <v>110</v>
      </c>
      <c r="G11" s="37">
        <f>T11-U11-W11+Y11</f>
        <v>20</v>
      </c>
      <c r="H11" s="39">
        <v>110</v>
      </c>
      <c r="I11" s="37">
        <f>T11-V11-X11+Y11</f>
        <v>37</v>
      </c>
      <c r="J11" s="39">
        <v>115</v>
      </c>
      <c r="K11" s="29">
        <f t="shared" si="3"/>
        <v>24</v>
      </c>
      <c r="L11" s="38">
        <v>115</v>
      </c>
      <c r="M11" s="29">
        <f t="shared" si="4"/>
        <v>31</v>
      </c>
      <c r="N11" s="3">
        <v>150</v>
      </c>
      <c r="O11" s="3">
        <v>60</v>
      </c>
      <c r="P11" s="3">
        <v>60</v>
      </c>
      <c r="Q11" s="11">
        <v>71</v>
      </c>
      <c r="R11" s="5">
        <v>52</v>
      </c>
      <c r="S11" s="4">
        <v>0</v>
      </c>
      <c r="T11" s="6">
        <v>150</v>
      </c>
      <c r="U11" s="6">
        <v>60</v>
      </c>
      <c r="V11" s="6">
        <v>60</v>
      </c>
      <c r="W11" s="11">
        <v>80</v>
      </c>
      <c r="X11" s="11">
        <v>63</v>
      </c>
      <c r="Y11" s="7">
        <v>10</v>
      </c>
      <c r="Z11" s="8">
        <v>150</v>
      </c>
      <c r="AA11" s="8">
        <v>60</v>
      </c>
      <c r="AB11" s="8">
        <v>60</v>
      </c>
      <c r="AC11" s="11">
        <v>76</v>
      </c>
      <c r="AD11" s="11">
        <v>69</v>
      </c>
      <c r="AE11" s="9">
        <v>10</v>
      </c>
      <c r="AG11" s="24" t="str">
        <f t="shared" si="5"/>
        <v>S25엣지 256</v>
      </c>
      <c r="AH11" s="24">
        <f t="shared" si="6"/>
        <v>109</v>
      </c>
      <c r="AI11" s="24">
        <f t="shared" si="7"/>
        <v>19</v>
      </c>
      <c r="AJ11" s="24">
        <v>109</v>
      </c>
      <c r="AK11" s="24">
        <f t="shared" si="8"/>
        <v>38</v>
      </c>
      <c r="AL11" s="24">
        <f t="shared" si="9"/>
        <v>110</v>
      </c>
      <c r="AM11" s="24">
        <f t="shared" si="10"/>
        <v>20</v>
      </c>
      <c r="AN11" s="24">
        <v>110</v>
      </c>
      <c r="AO11" s="24">
        <f t="shared" si="11"/>
        <v>37</v>
      </c>
      <c r="AP11" s="24">
        <v>115</v>
      </c>
      <c r="AQ11" s="24">
        <f t="shared" si="12"/>
        <v>24</v>
      </c>
      <c r="AR11" s="24">
        <v>115</v>
      </c>
      <c r="AS11" s="24">
        <f t="shared" si="13"/>
        <v>31</v>
      </c>
      <c r="AT11" s="23" t="s">
        <v>24</v>
      </c>
    </row>
    <row r="12" spans="1:47" ht="60" customHeight="1" thickTop="1" thickBot="1" x14ac:dyDescent="0.35">
      <c r="A12" s="38" t="s">
        <v>37</v>
      </c>
      <c r="B12" s="35">
        <v>109</v>
      </c>
      <c r="C12" s="28">
        <f t="shared" si="14"/>
        <v>-10</v>
      </c>
      <c r="D12" s="41">
        <v>109</v>
      </c>
      <c r="E12" s="36">
        <f t="shared" si="0"/>
        <v>2</v>
      </c>
      <c r="F12" s="39">
        <v>69</v>
      </c>
      <c r="G12" s="37">
        <f t="shared" ref="G12" si="15">T12-U12-W12+Y12</f>
        <v>4</v>
      </c>
      <c r="H12" s="39">
        <v>69</v>
      </c>
      <c r="I12" s="37">
        <f>T12-V12-X12+Y12</f>
        <v>24</v>
      </c>
      <c r="J12" s="39">
        <v>115</v>
      </c>
      <c r="K12" s="29">
        <f t="shared" si="3"/>
        <v>-19</v>
      </c>
      <c r="L12" s="38">
        <v>115</v>
      </c>
      <c r="M12" s="29">
        <f t="shared" si="4"/>
        <v>11</v>
      </c>
      <c r="N12" s="3">
        <v>95</v>
      </c>
      <c r="O12" s="3">
        <v>50</v>
      </c>
      <c r="P12" s="3">
        <v>50</v>
      </c>
      <c r="Q12" s="11">
        <v>55</v>
      </c>
      <c r="R12" s="5">
        <v>43</v>
      </c>
      <c r="S12" s="4">
        <v>0</v>
      </c>
      <c r="T12" s="6">
        <v>95</v>
      </c>
      <c r="U12" s="6">
        <v>50</v>
      </c>
      <c r="V12" s="6">
        <v>50</v>
      </c>
      <c r="W12" s="11">
        <v>51</v>
      </c>
      <c r="X12" s="11">
        <v>31</v>
      </c>
      <c r="Y12" s="7">
        <v>10</v>
      </c>
      <c r="Z12" s="8">
        <v>95</v>
      </c>
      <c r="AA12" s="8">
        <v>50</v>
      </c>
      <c r="AB12" s="8">
        <v>50</v>
      </c>
      <c r="AC12" s="11">
        <v>74</v>
      </c>
      <c r="AD12" s="11">
        <v>44</v>
      </c>
      <c r="AE12" s="9">
        <v>10</v>
      </c>
      <c r="AG12" s="24" t="str">
        <f t="shared" si="5"/>
        <v>S25FE 256</v>
      </c>
      <c r="AH12" s="24">
        <f t="shared" si="6"/>
        <v>109</v>
      </c>
      <c r="AI12" s="24">
        <f t="shared" si="7"/>
        <v>-10</v>
      </c>
      <c r="AJ12" s="24">
        <v>109</v>
      </c>
      <c r="AK12" s="24">
        <f t="shared" si="8"/>
        <v>2</v>
      </c>
      <c r="AL12" s="24">
        <f t="shared" si="9"/>
        <v>69</v>
      </c>
      <c r="AM12" s="24">
        <f t="shared" si="10"/>
        <v>4</v>
      </c>
      <c r="AN12" s="24">
        <v>69</v>
      </c>
      <c r="AO12" s="24">
        <f>I12</f>
        <v>24</v>
      </c>
      <c r="AP12" s="24">
        <v>115</v>
      </c>
      <c r="AQ12" s="24">
        <f t="shared" si="12"/>
        <v>-19</v>
      </c>
      <c r="AR12" s="24">
        <v>115</v>
      </c>
      <c r="AS12" s="24">
        <f t="shared" si="13"/>
        <v>11</v>
      </c>
      <c r="AT12" s="23" t="s">
        <v>24</v>
      </c>
    </row>
    <row r="13" spans="1:47" ht="39.75" thickTop="1" x14ac:dyDescent="0.3"/>
  </sheetData>
  <mergeCells count="7">
    <mergeCell ref="B1:E1"/>
    <mergeCell ref="F1:I1"/>
    <mergeCell ref="AG1:AO1"/>
    <mergeCell ref="J1:M1"/>
    <mergeCell ref="N1:S1"/>
    <mergeCell ref="T1:Y1"/>
    <mergeCell ref="Z1:AE1"/>
  </mergeCells>
  <phoneticPr fontId="1" type="noConversion"/>
  <dataValidations count="1">
    <dataValidation type="list" allowBlank="1" sqref="AT3:AT12" xr:uid="{00000000-0002-0000-0000-000000000000}">
      <formula1>"O,X"</formula1>
    </dataValidation>
  </dataValidations>
  <pageMargins left="0.7" right="0.7" top="0.75" bottom="0.75" header="0.3" footer="0.3"/>
  <pageSetup paperSize="9" scale="18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Justin Brown</cp:lastModifiedBy>
  <cp:lastPrinted>2025-09-02T03:25:37Z</cp:lastPrinted>
  <dcterms:created xsi:type="dcterms:W3CDTF">2020-07-14T04:56:10Z</dcterms:created>
  <dcterms:modified xsi:type="dcterms:W3CDTF">2026-02-10T02:13:34Z</dcterms:modified>
</cp:coreProperties>
</file>